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teve\OneDrive\Desktop\Excel Projects\"/>
    </mc:Choice>
  </mc:AlternateContent>
  <xr:revisionPtr revIDLastSave="0" documentId="13_ncr:1_{F911992B-80D2-4CBD-810E-F6C47D15ABE9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Assumptions" sheetId="1" r:id="rId1"/>
    <sheet name="Historicals" sheetId="2" r:id="rId2"/>
    <sheet name="Forecast" sheetId="3" r:id="rId3"/>
    <sheet name="DCF" sheetId="4" r:id="rId4"/>
    <sheet name="Recommenda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4" l="1"/>
  <c r="B21" i="4"/>
  <c r="B20" i="4"/>
  <c r="C7" i="4"/>
  <c r="D7" i="4"/>
  <c r="E7" i="4"/>
  <c r="B7" i="4"/>
  <c r="C10" i="4"/>
  <c r="D10" i="4"/>
  <c r="E10" i="4"/>
  <c r="B10" i="4"/>
  <c r="D11" i="3"/>
  <c r="E11" i="3"/>
  <c r="F11" i="3"/>
  <c r="C11" i="3"/>
  <c r="B5" i="4" s="1"/>
  <c r="E5" i="4"/>
  <c r="C5" i="4"/>
  <c r="C9" i="4" s="1"/>
  <c r="D5" i="4"/>
  <c r="C4" i="4"/>
  <c r="D4" i="4"/>
  <c r="E4" i="4"/>
  <c r="B4" i="4"/>
  <c r="C3" i="4"/>
  <c r="D3" i="4"/>
  <c r="E3" i="4"/>
  <c r="B3" i="4"/>
  <c r="B11" i="3"/>
  <c r="C26" i="2"/>
  <c r="D26" i="2"/>
  <c r="E26" i="2"/>
  <c r="B26" i="2"/>
  <c r="C23" i="2"/>
  <c r="D23" i="2"/>
  <c r="E23" i="2"/>
  <c r="B23" i="2"/>
  <c r="D25" i="2"/>
  <c r="E25" i="2"/>
  <c r="C25" i="2"/>
  <c r="D24" i="2"/>
  <c r="E24" i="2"/>
  <c r="C24" i="2"/>
  <c r="C22" i="2"/>
  <c r="D22" i="2"/>
  <c r="E22" i="2"/>
  <c r="B22" i="2"/>
  <c r="C21" i="2"/>
  <c r="D21" i="2"/>
  <c r="E21" i="2"/>
  <c r="B21" i="2"/>
  <c r="C20" i="2"/>
  <c r="D20" i="2"/>
  <c r="E20" i="2"/>
  <c r="B20" i="2"/>
  <c r="D19" i="2"/>
  <c r="E19" i="2"/>
  <c r="C19" i="2"/>
  <c r="B10" i="3"/>
  <c r="B9" i="3"/>
  <c r="C9" i="3" s="1"/>
  <c r="D9" i="3" s="1"/>
  <c r="E9" i="3" s="1"/>
  <c r="F9" i="3" s="1"/>
  <c r="B7" i="3"/>
  <c r="B6" i="3"/>
  <c r="B5" i="3"/>
  <c r="B4" i="3"/>
  <c r="C4" i="3" s="1"/>
  <c r="E10" i="2"/>
  <c r="B8" i="3" s="1"/>
  <c r="C8" i="3" s="1"/>
  <c r="C10" i="3" s="1"/>
  <c r="D10" i="2"/>
  <c r="C10" i="2"/>
  <c r="B10" i="2"/>
  <c r="B6" i="4" l="1"/>
  <c r="B8" i="4" s="1"/>
  <c r="D6" i="4"/>
  <c r="D8" i="4" s="1"/>
  <c r="E9" i="4"/>
  <c r="E6" i="4"/>
  <c r="E8" i="4" s="1"/>
  <c r="C6" i="4"/>
  <c r="C8" i="4" s="1"/>
  <c r="C11" i="4" s="1"/>
  <c r="C12" i="4" s="1"/>
  <c r="D9" i="4"/>
  <c r="B9" i="4"/>
  <c r="D8" i="3"/>
  <c r="D4" i="3"/>
  <c r="C6" i="3"/>
  <c r="C7" i="3"/>
  <c r="D5" i="3"/>
  <c r="E4" i="3"/>
  <c r="C5" i="3"/>
  <c r="B11" i="4" l="1"/>
  <c r="B12" i="4" s="1"/>
  <c r="D11" i="4"/>
  <c r="D12" i="4" s="1"/>
  <c r="E11" i="4"/>
  <c r="D10" i="3"/>
  <c r="E8" i="3"/>
  <c r="E7" i="3"/>
  <c r="E6" i="3"/>
  <c r="D7" i="3"/>
  <c r="D6" i="3"/>
  <c r="F4" i="3"/>
  <c r="E5" i="3"/>
  <c r="B30" i="4" l="1"/>
  <c r="B31" i="4" s="1"/>
  <c r="B18" i="4" s="1"/>
  <c r="E12" i="4"/>
  <c r="B17" i="4" s="1"/>
  <c r="F8" i="3"/>
  <c r="F10" i="3" s="1"/>
  <c r="E10" i="3"/>
  <c r="F5" i="3"/>
  <c r="F7" i="3"/>
  <c r="F6" i="3"/>
  <c r="B19" i="4" l="1"/>
  <c r="B22" i="4" s="1"/>
  <c r="B24" i="4" l="1"/>
  <c r="B26" i="4" l="1"/>
</calcChain>
</file>

<file path=xl/sharedStrings.xml><?xml version="1.0" encoding="utf-8"?>
<sst xmlns="http://schemas.openxmlformats.org/spreadsheetml/2006/main" count="142" uniqueCount="90">
  <si>
    <t>Assumption</t>
  </si>
  <si>
    <t>Value</t>
  </si>
  <si>
    <t>Revenue Growth</t>
  </si>
  <si>
    <t>EBITDA Margin</t>
  </si>
  <si>
    <t>Tax Rate</t>
  </si>
  <si>
    <t>CapEx % Revenue</t>
  </si>
  <si>
    <t>D&amp;A % Revenue</t>
  </si>
  <si>
    <t>WACC</t>
  </si>
  <si>
    <t>Terminal Growth</t>
  </si>
  <si>
    <t>Revenue</t>
  </si>
  <si>
    <t>Net Income</t>
  </si>
  <si>
    <t>D&amp;A</t>
  </si>
  <si>
    <t xml:space="preserve">Cash </t>
  </si>
  <si>
    <t>Debt</t>
  </si>
  <si>
    <t>Metric</t>
  </si>
  <si>
    <t>Customer Deposits</t>
  </si>
  <si>
    <t>Provision for Credit Losses</t>
  </si>
  <si>
    <t>Interest Expense</t>
  </si>
  <si>
    <t>Total Loans</t>
  </si>
  <si>
    <t>Income Tax Benefit (Expense)</t>
  </si>
  <si>
    <t>Adjusted EBITDA</t>
  </si>
  <si>
    <t>($ in thousands)</t>
  </si>
  <si>
    <t>Depreciation &amp; Amortization</t>
  </si>
  <si>
    <t>Capital Expenditures</t>
  </si>
  <si>
    <t>2025A</t>
  </si>
  <si>
    <t>2026E</t>
  </si>
  <si>
    <t>2027E</t>
  </si>
  <si>
    <t>2028E</t>
  </si>
  <si>
    <t>2029E</t>
  </si>
  <si>
    <t>Historical Margins</t>
  </si>
  <si>
    <t>Loan Growth</t>
  </si>
  <si>
    <t>Deposit Growth</t>
  </si>
  <si>
    <t>NA</t>
  </si>
  <si>
    <t>Net Income % Revenue</t>
  </si>
  <si>
    <t>EBITDA % Revenue</t>
  </si>
  <si>
    <t>Provision % Loans</t>
  </si>
  <si>
    <t>NOPAT</t>
  </si>
  <si>
    <t>Add: D&amp;A</t>
  </si>
  <si>
    <t>Less: CapEx</t>
  </si>
  <si>
    <t>Free Cash Flow</t>
  </si>
  <si>
    <t>PV of FCF's</t>
  </si>
  <si>
    <t>PV of Terminal Value</t>
  </si>
  <si>
    <t>Enterprise Value</t>
  </si>
  <si>
    <t>Add: Cash</t>
  </si>
  <si>
    <t>Less: Debt</t>
  </si>
  <si>
    <t>Equity Value</t>
  </si>
  <si>
    <t>Adjusted EBIT</t>
  </si>
  <si>
    <t>PV of FCF</t>
  </si>
  <si>
    <t>2030 FCF</t>
  </si>
  <si>
    <t>Terminal Vaue</t>
  </si>
  <si>
    <t>Terminal Value Calculations</t>
  </si>
  <si>
    <t>Shares Outstanding</t>
  </si>
  <si>
    <t>Implied Share Price</t>
  </si>
  <si>
    <t>Upside (Downside)</t>
  </si>
  <si>
    <t>Recommendation</t>
  </si>
  <si>
    <t>Moderate Buy</t>
  </si>
  <si>
    <t>Implied Share Price ($ per share)</t>
  </si>
  <si>
    <t>DCF Sensitivity Analysis</t>
  </si>
  <si>
    <t>SOFI Technologies Valuation Summary</t>
  </si>
  <si>
    <t>Current Share Price</t>
  </si>
  <si>
    <t>Upside Potential</t>
  </si>
  <si>
    <t>Terminal Growth Rate</t>
  </si>
  <si>
    <t>Buy</t>
  </si>
  <si>
    <t>Current Stock Price (05/06/2026)</t>
  </si>
  <si>
    <t>• Strong projected revenue growth driven by continued expansion in lending, deposits, and consumer financial products.</t>
  </si>
  <si>
    <t>• Rapid customer deposit growth improves funding and helps long-term loan growth</t>
  </si>
  <si>
    <t>• Improving margins and profitability may support further upside in the company's valuation</t>
  </si>
  <si>
    <t>KEY FORECAST DRIVERS</t>
  </si>
  <si>
    <t>INVESTMENT THESIS</t>
  </si>
  <si>
    <t>Key Driver</t>
  </si>
  <si>
    <t>Adjusted EBITDA Margin</t>
  </si>
  <si>
    <t>VALUATION COMMENTARY</t>
  </si>
  <si>
    <t xml:space="preserve">Using a discounted cash flow valuation with a 9.0% WACC and 2.5% terminal growth rate, </t>
  </si>
  <si>
    <t>the model estimates an implied share price of $18.67, representing approximately 14.5%</t>
  </si>
  <si>
    <t>upside from the current market price of $16.30.</t>
  </si>
  <si>
    <t>This valuation is supported by by projected growth in revenue, deposits, and profitability</t>
  </si>
  <si>
    <t>over the forecast period.</t>
  </si>
  <si>
    <t>RISKS SECTION</t>
  </si>
  <si>
    <t>Key Risks</t>
  </si>
  <si>
    <t>• Increased credit losses may reduce future earnings and margins.</t>
  </si>
  <si>
    <t>• Slower loan or deposit growth could reduce projected revenue expansion.</t>
  </si>
  <si>
    <t>• Macroeconomic weakness or interest rate fluctuations may negatvely affect consumer lending activity.</t>
  </si>
  <si>
    <t>• Regulatory changes may impact future growth and profitability.</t>
  </si>
  <si>
    <t>SENSITIVITY TABLE</t>
  </si>
  <si>
    <t>Sensitivity of implied share price to WACC and terminal growth assumptions</t>
  </si>
  <si>
    <t>RECOMMENDATION</t>
  </si>
  <si>
    <t xml:space="preserve">Based on projected revenue growth, expanding profitability, and DCF analysis, </t>
  </si>
  <si>
    <t xml:space="preserve">SOFI appears moderately undervalued compared to its current market price. The </t>
  </si>
  <si>
    <t>model supports a Moderate Buy reccomendation, while recognizing risks related to</t>
  </si>
  <si>
    <t>credit performance and macroeconomic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</si>
</sst>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0" fillId="0" borderId="0" xfId="0" applyNumberFormat="1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3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8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8" fontId="0" fillId="0" borderId="10" xfId="0" applyNumberForma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6" xfId="0" applyNumberFormat="1" applyBorder="1" applyAlignment="1">
      <alignment horizontal="center"/>
    </xf>
    <xf numFmtId="8" fontId="4" fillId="0" borderId="0" xfId="0" applyNumberFormat="1" applyFont="1"/>
    <xf numFmtId="9" fontId="1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7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9" fontId="0" fillId="0" borderId="7" xfId="0" applyNumberFormat="1" applyBorder="1" applyAlignment="1">
      <alignment horizontal="center"/>
    </xf>
    <xf numFmtId="0" fontId="0" fillId="0" borderId="0" xfId="0" applyFont="1"/>
    <xf numFmtId="8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49</xdr:row>
      <xdr:rowOff>54313</xdr:rowOff>
    </xdr:from>
    <xdr:to>
      <xdr:col>10</xdr:col>
      <xdr:colOff>241300</xdr:colOff>
      <xdr:row>62</xdr:row>
      <xdr:rowOff>105165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366535-16B8-4EB5-4A15-5F02D07C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9382463"/>
          <a:ext cx="7200900" cy="2444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2" sqref="B2"/>
    </sheetView>
  </sheetViews>
  <sheetFormatPr defaultRowHeight="14.5" x14ac:dyDescent="0.35"/>
  <cols>
    <col min="1" max="1" width="19.7265625" customWidth="1"/>
  </cols>
  <sheetData>
    <row r="1" spans="1:5" x14ac:dyDescent="0.35">
      <c r="A1" s="1" t="s">
        <v>0</v>
      </c>
      <c r="B1" s="10" t="s">
        <v>25</v>
      </c>
      <c r="C1" s="10" t="s">
        <v>26</v>
      </c>
      <c r="D1" s="5" t="s">
        <v>27</v>
      </c>
      <c r="E1" s="5" t="s">
        <v>28</v>
      </c>
    </row>
    <row r="2" spans="1:5" x14ac:dyDescent="0.35">
      <c r="A2" t="s">
        <v>2</v>
      </c>
      <c r="B2" s="11">
        <v>0.2</v>
      </c>
      <c r="C2" s="11">
        <v>0.18</v>
      </c>
      <c r="D2" s="12">
        <v>0.16</v>
      </c>
      <c r="E2" s="12">
        <v>0.14000000000000001</v>
      </c>
    </row>
    <row r="3" spans="1:5" x14ac:dyDescent="0.35">
      <c r="A3" t="s">
        <v>3</v>
      </c>
      <c r="B3" s="11">
        <v>0.31</v>
      </c>
      <c r="C3" s="11">
        <v>0.32</v>
      </c>
      <c r="D3" s="12">
        <v>0.33</v>
      </c>
      <c r="E3" s="12">
        <v>0.34</v>
      </c>
    </row>
    <row r="4" spans="1:5" x14ac:dyDescent="0.35">
      <c r="A4" t="s">
        <v>4</v>
      </c>
      <c r="B4" s="11">
        <v>0.25</v>
      </c>
      <c r="C4" s="11">
        <v>0.25</v>
      </c>
      <c r="D4" s="12">
        <v>0.25</v>
      </c>
      <c r="E4" s="12">
        <v>0.25</v>
      </c>
    </row>
    <row r="5" spans="1:5" x14ac:dyDescent="0.35">
      <c r="A5" t="s">
        <v>5</v>
      </c>
      <c r="B5" s="11">
        <v>0.05</v>
      </c>
      <c r="C5" s="11">
        <v>0.05</v>
      </c>
      <c r="D5" s="12">
        <v>0.05</v>
      </c>
      <c r="E5" s="12">
        <v>0.05</v>
      </c>
    </row>
    <row r="6" spans="1:5" x14ac:dyDescent="0.35">
      <c r="A6" t="s">
        <v>6</v>
      </c>
      <c r="B6" s="11">
        <v>0.06</v>
      </c>
      <c r="C6" s="11">
        <v>5.8000000000000003E-2</v>
      </c>
      <c r="D6" s="12">
        <v>5.5E-2</v>
      </c>
      <c r="E6" s="12">
        <v>5.5E-2</v>
      </c>
    </row>
    <row r="7" spans="1:5" x14ac:dyDescent="0.35">
      <c r="A7" t="s">
        <v>33</v>
      </c>
      <c r="B7" s="11">
        <v>0.14000000000000001</v>
      </c>
      <c r="C7" s="11">
        <v>0.15</v>
      </c>
      <c r="D7" s="12">
        <v>0.16</v>
      </c>
      <c r="E7" s="12">
        <v>0.16</v>
      </c>
    </row>
    <row r="8" spans="1:5" x14ac:dyDescent="0.35">
      <c r="A8" t="s">
        <v>30</v>
      </c>
      <c r="B8" s="11">
        <v>0.25</v>
      </c>
      <c r="C8" s="11">
        <v>0.22</v>
      </c>
      <c r="D8" s="12">
        <v>0.18</v>
      </c>
      <c r="E8" s="12">
        <v>0.15</v>
      </c>
    </row>
    <row r="9" spans="1:5" x14ac:dyDescent="0.35">
      <c r="A9" t="s">
        <v>31</v>
      </c>
      <c r="B9" s="11">
        <v>0.3</v>
      </c>
      <c r="C9" s="11">
        <v>0.25</v>
      </c>
      <c r="D9" s="12">
        <v>0.2</v>
      </c>
      <c r="E9" s="12">
        <v>0.18</v>
      </c>
    </row>
    <row r="10" spans="1:5" x14ac:dyDescent="0.35">
      <c r="A10" t="s">
        <v>35</v>
      </c>
      <c r="B10" s="13">
        <v>8.0000000000000004E-4</v>
      </c>
      <c r="C10" s="13">
        <v>8.0000000000000004E-4</v>
      </c>
      <c r="D10" s="7">
        <v>8.9999999999999998E-4</v>
      </c>
      <c r="E10" s="7">
        <v>1E-3</v>
      </c>
    </row>
    <row r="11" spans="1:5" x14ac:dyDescent="0.35">
      <c r="A11" t="s">
        <v>7</v>
      </c>
      <c r="B11" s="11">
        <v>0.09</v>
      </c>
      <c r="C11" s="11">
        <v>0.09</v>
      </c>
      <c r="D11" s="12">
        <v>0.09</v>
      </c>
      <c r="E11" s="12">
        <v>0.09</v>
      </c>
    </row>
    <row r="12" spans="1:5" x14ac:dyDescent="0.35">
      <c r="A12" t="s">
        <v>8</v>
      </c>
      <c r="B12" s="11">
        <v>2.5000000000000001E-2</v>
      </c>
      <c r="C12" s="11">
        <v>2.5000000000000001E-2</v>
      </c>
      <c r="D12" s="12">
        <v>2.5000000000000001E-2</v>
      </c>
      <c r="E12" s="12">
        <v>2.5000000000000001E-2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FC51-13D7-413D-B8C6-57C0D2ADD9E5}">
  <dimension ref="A1:G30"/>
  <sheetViews>
    <sheetView topLeftCell="A6" zoomScale="111" zoomScaleNormal="73" workbookViewId="0">
      <selection activeCell="E9" sqref="E9"/>
    </sheetView>
  </sheetViews>
  <sheetFormatPr defaultRowHeight="14.5" x14ac:dyDescent="0.35"/>
  <cols>
    <col min="1" max="1" width="25.81640625" customWidth="1"/>
    <col min="2" max="2" width="12.26953125" customWidth="1"/>
    <col min="3" max="3" width="11.36328125" customWidth="1"/>
    <col min="4" max="4" width="11.1796875" customWidth="1"/>
    <col min="5" max="5" width="11.81640625" customWidth="1"/>
  </cols>
  <sheetData>
    <row r="1" spans="1:7" x14ac:dyDescent="0.35">
      <c r="A1" t="s">
        <v>21</v>
      </c>
    </row>
    <row r="2" spans="1:7" x14ac:dyDescent="0.35">
      <c r="A2" s="1" t="s">
        <v>14</v>
      </c>
      <c r="B2" s="5">
        <v>2022</v>
      </c>
      <c r="C2" s="5">
        <v>2023</v>
      </c>
      <c r="D2" s="5">
        <v>2024</v>
      </c>
      <c r="E2" s="5">
        <v>2025</v>
      </c>
    </row>
    <row r="3" spans="1:7" x14ac:dyDescent="0.35">
      <c r="A3" t="s">
        <v>9</v>
      </c>
      <c r="B3" s="4">
        <v>1573535</v>
      </c>
      <c r="C3" s="4">
        <v>2122789</v>
      </c>
      <c r="D3" s="4">
        <v>2674859</v>
      </c>
      <c r="E3" s="4">
        <v>3613354</v>
      </c>
    </row>
    <row r="4" spans="1:7" x14ac:dyDescent="0.35">
      <c r="A4" t="s">
        <v>20</v>
      </c>
      <c r="B4" s="4">
        <v>143000</v>
      </c>
      <c r="C4" s="4">
        <v>432000</v>
      </c>
      <c r="D4" s="4">
        <v>665000</v>
      </c>
      <c r="E4" s="4">
        <v>1100000</v>
      </c>
    </row>
    <row r="5" spans="1:7" x14ac:dyDescent="0.35">
      <c r="A5" t="s">
        <v>10</v>
      </c>
      <c r="B5" s="4">
        <v>-320407</v>
      </c>
      <c r="C5" s="4">
        <v>-300742</v>
      </c>
      <c r="D5" s="4">
        <v>498665</v>
      </c>
      <c r="E5" s="4">
        <v>481320</v>
      </c>
    </row>
    <row r="6" spans="1:7" x14ac:dyDescent="0.35">
      <c r="A6" t="s">
        <v>22</v>
      </c>
      <c r="B6" s="4">
        <v>151360</v>
      </c>
      <c r="C6" s="4">
        <v>201416</v>
      </c>
      <c r="D6" s="4">
        <v>203498</v>
      </c>
      <c r="E6" s="4">
        <v>234151</v>
      </c>
    </row>
    <row r="7" spans="1:7" x14ac:dyDescent="0.35">
      <c r="A7" t="s">
        <v>23</v>
      </c>
      <c r="B7" s="4">
        <v>93201</v>
      </c>
      <c r="C7" s="4">
        <v>111409</v>
      </c>
      <c r="D7" s="4">
        <v>154265</v>
      </c>
      <c r="E7" s="4">
        <v>242444</v>
      </c>
    </row>
    <row r="8" spans="1:7" x14ac:dyDescent="0.35">
      <c r="A8" t="s">
        <v>12</v>
      </c>
      <c r="B8" s="4">
        <v>1421907</v>
      </c>
      <c r="C8" s="4">
        <v>3085020</v>
      </c>
      <c r="D8" s="4">
        <v>2538293</v>
      </c>
      <c r="E8" s="4">
        <v>4929452</v>
      </c>
    </row>
    <row r="9" spans="1:7" x14ac:dyDescent="0.35">
      <c r="A9" t="s">
        <v>13</v>
      </c>
      <c r="B9" s="4">
        <v>5485882</v>
      </c>
      <c r="C9" s="4">
        <v>5233416</v>
      </c>
      <c r="D9" s="4">
        <v>3092692</v>
      </c>
      <c r="E9" s="4">
        <v>1815162</v>
      </c>
    </row>
    <row r="10" spans="1:7" x14ac:dyDescent="0.35">
      <c r="A10" t="s">
        <v>18</v>
      </c>
      <c r="B10" s="4">
        <f>13557074+307957</f>
        <v>13865031</v>
      </c>
      <c r="C10" s="4">
        <f>15396771+6725484+836159</f>
        <v>22958414</v>
      </c>
      <c r="D10" s="4">
        <f>8597368+1246458+17684892</f>
        <v>27528718</v>
      </c>
      <c r="E10" s="4">
        <f>13657578+1516736+22862749</f>
        <v>38037063</v>
      </c>
    </row>
    <row r="11" spans="1:7" x14ac:dyDescent="0.35">
      <c r="A11" t="s">
        <v>15</v>
      </c>
      <c r="B11" s="4">
        <v>7342296</v>
      </c>
      <c r="C11" s="4">
        <v>18620663</v>
      </c>
      <c r="D11" s="4">
        <v>25978204</v>
      </c>
      <c r="E11" s="4">
        <v>37505395</v>
      </c>
      <c r="G11" s="2"/>
    </row>
    <row r="12" spans="1:7" x14ac:dyDescent="0.35">
      <c r="A12" t="s">
        <v>16</v>
      </c>
      <c r="B12" s="4">
        <v>54332</v>
      </c>
      <c r="C12" s="4">
        <v>54945</v>
      </c>
      <c r="D12" s="4">
        <v>31712</v>
      </c>
      <c r="E12" s="4">
        <v>30319</v>
      </c>
    </row>
    <row r="13" spans="1:7" x14ac:dyDescent="0.35">
      <c r="A13" t="s">
        <v>17</v>
      </c>
      <c r="B13" s="4">
        <v>189275</v>
      </c>
      <c r="C13" s="4">
        <v>789327</v>
      </c>
      <c r="D13" s="4">
        <v>1091336</v>
      </c>
      <c r="E13" s="4">
        <v>1156243</v>
      </c>
    </row>
    <row r="14" spans="1:7" x14ac:dyDescent="0.35">
      <c r="A14" t="s">
        <v>19</v>
      </c>
      <c r="B14" s="4">
        <v>-1686</v>
      </c>
      <c r="C14" s="4">
        <v>416</v>
      </c>
      <c r="D14" s="4">
        <v>265320</v>
      </c>
      <c r="E14" s="4">
        <v>-44537</v>
      </c>
    </row>
    <row r="17" spans="1:5" x14ac:dyDescent="0.35">
      <c r="A17" t="s">
        <v>29</v>
      </c>
    </row>
    <row r="18" spans="1:5" x14ac:dyDescent="0.35">
      <c r="A18" s="1" t="s">
        <v>14</v>
      </c>
      <c r="B18" s="5">
        <v>2022</v>
      </c>
      <c r="C18" s="5">
        <v>2023</v>
      </c>
      <c r="D18" s="5">
        <v>2024</v>
      </c>
      <c r="E18" s="5">
        <v>2025</v>
      </c>
    </row>
    <row r="19" spans="1:5" x14ac:dyDescent="0.35">
      <c r="A19" t="s">
        <v>2</v>
      </c>
      <c r="B19" s="8" t="s">
        <v>32</v>
      </c>
      <c r="C19" s="8">
        <f>(C3-B3)/B3</f>
        <v>0.34905737717940816</v>
      </c>
      <c r="D19" s="8">
        <f t="shared" ref="D19:E19" si="0">(D3-C3)/C3</f>
        <v>0.2600682404139083</v>
      </c>
      <c r="E19" s="8">
        <f t="shared" si="0"/>
        <v>0.3508577461466193</v>
      </c>
    </row>
    <row r="20" spans="1:5" x14ac:dyDescent="0.35">
      <c r="A20" t="s">
        <v>34</v>
      </c>
      <c r="B20" s="8">
        <f>B4/B3</f>
        <v>9.0878181927952037E-2</v>
      </c>
      <c r="C20" s="8">
        <f t="shared" ref="C20:E20" si="1">C4/C3</f>
        <v>0.20350585950841088</v>
      </c>
      <c r="D20" s="8">
        <f t="shared" si="1"/>
        <v>0.24861123520903344</v>
      </c>
      <c r="E20" s="8">
        <f t="shared" si="1"/>
        <v>0.30442630309679042</v>
      </c>
    </row>
    <row r="21" spans="1:5" x14ac:dyDescent="0.35">
      <c r="A21" t="s">
        <v>33</v>
      </c>
      <c r="B21" s="8">
        <f>B5/B3</f>
        <v>-0.20362241704188341</v>
      </c>
      <c r="C21" s="8">
        <f t="shared" ref="C21:E21" si="2">C5/C3</f>
        <v>-0.14167305370434838</v>
      </c>
      <c r="D21" s="8">
        <f t="shared" si="2"/>
        <v>0.1864266490308461</v>
      </c>
      <c r="E21" s="8">
        <f t="shared" si="2"/>
        <v>0.13320588018777013</v>
      </c>
    </row>
    <row r="22" spans="1:5" x14ac:dyDescent="0.35">
      <c r="A22" t="s">
        <v>6</v>
      </c>
      <c r="B22" s="8">
        <f>B6/B3</f>
        <v>9.6191060256047692E-2</v>
      </c>
      <c r="C22" s="8">
        <f t="shared" ref="C22:E22" si="3">C6/C3</f>
        <v>9.4882722682282594E-2</v>
      </c>
      <c r="D22" s="8">
        <f t="shared" si="3"/>
        <v>7.6078028785816376E-2</v>
      </c>
      <c r="E22" s="8">
        <f t="shared" si="3"/>
        <v>6.4801566633105975E-2</v>
      </c>
    </row>
    <row r="23" spans="1:5" x14ac:dyDescent="0.35">
      <c r="A23" t="s">
        <v>5</v>
      </c>
      <c r="B23" s="8">
        <f>B7/B3</f>
        <v>5.9230331705364035E-2</v>
      </c>
      <c r="C23" s="8">
        <f t="shared" ref="C23:E23" si="4">C7/C3</f>
        <v>5.2482371069380897E-2</v>
      </c>
      <c r="D23" s="8">
        <f t="shared" si="4"/>
        <v>5.7672198796273E-2</v>
      </c>
      <c r="E23" s="8">
        <f t="shared" si="4"/>
        <v>6.7096664207271145E-2</v>
      </c>
    </row>
    <row r="24" spans="1:5" x14ac:dyDescent="0.35">
      <c r="A24" t="s">
        <v>30</v>
      </c>
      <c r="B24" s="8" t="s">
        <v>32</v>
      </c>
      <c r="C24" s="8">
        <f>(C10-B10)/B10</f>
        <v>0.65585017444245164</v>
      </c>
      <c r="D24" s="8">
        <f t="shared" ref="D24:E24" si="5">(D10-C10)/C10</f>
        <v>0.19906880327186363</v>
      </c>
      <c r="E24" s="8">
        <f t="shared" si="5"/>
        <v>0.38172300649815949</v>
      </c>
    </row>
    <row r="25" spans="1:5" x14ac:dyDescent="0.35">
      <c r="A25" t="s">
        <v>31</v>
      </c>
      <c r="B25" s="8" t="s">
        <v>32</v>
      </c>
      <c r="C25" s="8">
        <f>(C11-B11)/B11</f>
        <v>1.5360817651590184</v>
      </c>
      <c r="D25" s="8">
        <f t="shared" ref="D25:E25" si="6">(D11-C11)/C11</f>
        <v>0.39512776746993378</v>
      </c>
      <c r="E25" s="8">
        <f t="shared" si="6"/>
        <v>0.44372547848188426</v>
      </c>
    </row>
    <row r="26" spans="1:5" x14ac:dyDescent="0.35">
      <c r="A26" t="s">
        <v>35</v>
      </c>
      <c r="B26" s="7">
        <f>B12/B10</f>
        <v>3.9186353063328889E-3</v>
      </c>
      <c r="C26" s="7">
        <f t="shared" ref="C26:E26" si="7">C12/C10</f>
        <v>2.3932402299218056E-3</v>
      </c>
      <c r="D26" s="7">
        <f t="shared" si="7"/>
        <v>1.1519606543246947E-3</v>
      </c>
      <c r="E26" s="7">
        <f t="shared" si="7"/>
        <v>7.9709098465357328E-4</v>
      </c>
    </row>
    <row r="27" spans="1:5" x14ac:dyDescent="0.35">
      <c r="B27" s="6"/>
      <c r="C27" s="6"/>
      <c r="D27" s="6"/>
    </row>
    <row r="28" spans="1:5" x14ac:dyDescent="0.35">
      <c r="B28" s="6"/>
      <c r="C28" s="6"/>
      <c r="D28" s="6"/>
    </row>
    <row r="29" spans="1:5" x14ac:dyDescent="0.35">
      <c r="B29" s="6"/>
      <c r="C29" s="6"/>
      <c r="D29" s="6"/>
    </row>
    <row r="30" spans="1:5" x14ac:dyDescent="0.35">
      <c r="B30" s="6"/>
      <c r="C30" s="6"/>
      <c r="D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A69A-16BD-4699-B50A-83E8D9E94131}">
  <dimension ref="A1:F11"/>
  <sheetViews>
    <sheetView workbookViewId="0">
      <selection activeCell="B11" sqref="B11"/>
    </sheetView>
  </sheetViews>
  <sheetFormatPr defaultRowHeight="14.5" x14ac:dyDescent="0.35"/>
  <cols>
    <col min="1" max="1" width="25.453125" customWidth="1"/>
    <col min="2" max="2" width="12.90625" customWidth="1"/>
    <col min="3" max="3" width="14.36328125" customWidth="1"/>
    <col min="4" max="4" width="15.81640625" customWidth="1"/>
    <col min="5" max="5" width="16.08984375" customWidth="1"/>
    <col min="6" max="6" width="16.36328125" customWidth="1"/>
  </cols>
  <sheetData>
    <row r="1" spans="1:6" x14ac:dyDescent="0.35">
      <c r="A1" t="s">
        <v>21</v>
      </c>
    </row>
    <row r="2" spans="1:6" x14ac:dyDescent="0.35">
      <c r="A2" t="s">
        <v>21</v>
      </c>
    </row>
    <row r="3" spans="1:6" x14ac:dyDescent="0.35">
      <c r="A3" s="1" t="s">
        <v>14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</row>
    <row r="4" spans="1:6" x14ac:dyDescent="0.35">
      <c r="A4" t="s">
        <v>9</v>
      </c>
      <c r="B4" s="14">
        <f>Historicals!E3</f>
        <v>3613354</v>
      </c>
      <c r="C4" s="14">
        <f>B4*(1+Assumptions!B2)</f>
        <v>4336024.8</v>
      </c>
      <c r="D4" s="14">
        <f>C4*(1+Assumptions!C2)</f>
        <v>5116509.2639999995</v>
      </c>
      <c r="E4" s="14">
        <f>D4*(1+Assumptions!D2)</f>
        <v>5935150.7462399993</v>
      </c>
      <c r="F4" s="14">
        <f>E4*(1+Assumptions!E2)</f>
        <v>6766071.8507136004</v>
      </c>
    </row>
    <row r="5" spans="1:6" x14ac:dyDescent="0.35">
      <c r="A5" t="s">
        <v>20</v>
      </c>
      <c r="B5" s="14">
        <f>Historicals!E4</f>
        <v>1100000</v>
      </c>
      <c r="C5" s="14">
        <f>C4*Assumptions!B3</f>
        <v>1344167.6879999998</v>
      </c>
      <c r="D5" s="14">
        <f>D4*Assumptions!C3</f>
        <v>1637282.9644799998</v>
      </c>
      <c r="E5" s="14">
        <f>E4*Assumptions!D3</f>
        <v>1958599.7462591999</v>
      </c>
      <c r="F5" s="14">
        <f>F4*Assumptions!E3</f>
        <v>2300464.4292426244</v>
      </c>
    </row>
    <row r="6" spans="1:6" x14ac:dyDescent="0.35">
      <c r="A6" t="s">
        <v>10</v>
      </c>
      <c r="B6" s="14">
        <f>Historicals!E5</f>
        <v>481320</v>
      </c>
      <c r="C6" s="14">
        <f>C4*Assumptions!B7</f>
        <v>607043.47200000007</v>
      </c>
      <c r="D6" s="14">
        <f>D4*Assumptions!C7</f>
        <v>767476.38959999988</v>
      </c>
      <c r="E6" s="14">
        <f>E4*Assumptions!D7</f>
        <v>949624.11939839995</v>
      </c>
      <c r="F6" s="14">
        <f>F4*Assumptions!E7</f>
        <v>1082571.496114176</v>
      </c>
    </row>
    <row r="7" spans="1:6" x14ac:dyDescent="0.35">
      <c r="A7" t="s">
        <v>23</v>
      </c>
      <c r="B7" s="14">
        <f>Historicals!E7</f>
        <v>242444</v>
      </c>
      <c r="C7" s="14">
        <f>C4*Assumptions!B5</f>
        <v>216801.24</v>
      </c>
      <c r="D7" s="14">
        <f>D4*Assumptions!C5</f>
        <v>255825.4632</v>
      </c>
      <c r="E7" s="14">
        <f>E4*Assumptions!D5</f>
        <v>296757.537312</v>
      </c>
      <c r="F7" s="14">
        <f>F4*Assumptions!E5</f>
        <v>338303.59253568004</v>
      </c>
    </row>
    <row r="8" spans="1:6" x14ac:dyDescent="0.35">
      <c r="A8" t="s">
        <v>18</v>
      </c>
      <c r="B8" s="14">
        <f>Historicals!E10</f>
        <v>38037063</v>
      </c>
      <c r="C8" s="14">
        <f>B8*(1+Assumptions!B8)</f>
        <v>47546328.75</v>
      </c>
      <c r="D8" s="14">
        <f>C8*(1+Assumptions!C8)</f>
        <v>58006521.074999996</v>
      </c>
      <c r="E8" s="14">
        <f>D8*(1+Assumptions!D8)</f>
        <v>68447694.868499994</v>
      </c>
      <c r="F8" s="14">
        <f>E8*(1+Assumptions!E8)</f>
        <v>78714849.098774984</v>
      </c>
    </row>
    <row r="9" spans="1:6" x14ac:dyDescent="0.35">
      <c r="A9" t="s">
        <v>15</v>
      </c>
      <c r="B9" s="14">
        <f>Historicals!E11</f>
        <v>37505395</v>
      </c>
      <c r="C9" s="14">
        <f>B9*(1+Assumptions!B9)</f>
        <v>48757013.5</v>
      </c>
      <c r="D9" s="14">
        <f>C9*(1+Assumptions!C9)</f>
        <v>60946266.875</v>
      </c>
      <c r="E9" s="14">
        <f>D9*(1+Assumptions!D9)</f>
        <v>73135520.25</v>
      </c>
      <c r="F9" s="14">
        <f>E9*(1+Assumptions!E9)</f>
        <v>86299913.894999996</v>
      </c>
    </row>
    <row r="10" spans="1:6" x14ac:dyDescent="0.35">
      <c r="A10" t="s">
        <v>16</v>
      </c>
      <c r="B10" s="14">
        <f>Historicals!E12</f>
        <v>30319</v>
      </c>
      <c r="C10" s="14">
        <f>C8*Assumptions!B10</f>
        <v>38037.063000000002</v>
      </c>
      <c r="D10" s="14">
        <f>D8*Assumptions!C10</f>
        <v>46405.21686</v>
      </c>
      <c r="E10" s="14">
        <f>E8*Assumptions!D10</f>
        <v>61602.925381649991</v>
      </c>
      <c r="F10" s="14">
        <f>F8*Assumptions!E10</f>
        <v>78714.849098774983</v>
      </c>
    </row>
    <row r="11" spans="1:6" x14ac:dyDescent="0.35">
      <c r="A11" t="s">
        <v>11</v>
      </c>
      <c r="B11" s="15">
        <f>Historicals!E6</f>
        <v>234151</v>
      </c>
      <c r="C11" s="15">
        <f>C4*Assumptions!B6</f>
        <v>260161.48799999998</v>
      </c>
      <c r="D11" s="15">
        <f>D4*Assumptions!C6</f>
        <v>296757.537312</v>
      </c>
      <c r="E11" s="15">
        <f>E4*Assumptions!D6</f>
        <v>326433.29104319995</v>
      </c>
      <c r="F11" s="15">
        <f>F4*Assumptions!E6</f>
        <v>372133.95178924804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1766-7432-4A71-9461-007E5E5FBD81}">
  <dimension ref="A1:H44"/>
  <sheetViews>
    <sheetView topLeftCell="A26" workbookViewId="0">
      <selection activeCell="C31" sqref="C31"/>
    </sheetView>
  </sheetViews>
  <sheetFormatPr defaultRowHeight="14.5" x14ac:dyDescent="0.35"/>
  <cols>
    <col min="1" max="1" width="27.26953125" customWidth="1"/>
    <col min="2" max="2" width="14.36328125" customWidth="1"/>
    <col min="3" max="3" width="15.7265625" customWidth="1"/>
    <col min="4" max="4" width="10.6328125" customWidth="1"/>
    <col min="5" max="5" width="11" customWidth="1"/>
  </cols>
  <sheetData>
    <row r="1" spans="1:5" x14ac:dyDescent="0.35">
      <c r="A1" t="s">
        <v>21</v>
      </c>
    </row>
    <row r="2" spans="1:5" x14ac:dyDescent="0.35">
      <c r="A2" s="1" t="s">
        <v>14</v>
      </c>
      <c r="B2" s="5" t="s">
        <v>25</v>
      </c>
      <c r="C2" s="5" t="s">
        <v>26</v>
      </c>
      <c r="D2" s="5" t="s">
        <v>27</v>
      </c>
      <c r="E2" s="5" t="s">
        <v>28</v>
      </c>
    </row>
    <row r="3" spans="1:5" x14ac:dyDescent="0.35">
      <c r="A3" t="s">
        <v>9</v>
      </c>
      <c r="B3" s="15">
        <f>Forecast!C4</f>
        <v>4336024.8</v>
      </c>
      <c r="C3" s="15">
        <f>Forecast!D4</f>
        <v>5116509.2639999995</v>
      </c>
      <c r="D3" s="15">
        <f>Forecast!E4</f>
        <v>5935150.7462399993</v>
      </c>
      <c r="E3" s="15">
        <f>Forecast!F4</f>
        <v>6766071.8507136004</v>
      </c>
    </row>
    <row r="4" spans="1:5" x14ac:dyDescent="0.35">
      <c r="A4" t="s">
        <v>20</v>
      </c>
      <c r="B4" s="15">
        <f>Forecast!C5</f>
        <v>1344167.6879999998</v>
      </c>
      <c r="C4" s="15">
        <f>Forecast!D5</f>
        <v>1637282.9644799998</v>
      </c>
      <c r="D4" s="15">
        <f>Forecast!E5</f>
        <v>1958599.7462591999</v>
      </c>
      <c r="E4" s="15">
        <f>Forecast!F5</f>
        <v>2300464.4292426244</v>
      </c>
    </row>
    <row r="5" spans="1:5" x14ac:dyDescent="0.35">
      <c r="A5" t="s">
        <v>11</v>
      </c>
      <c r="B5" s="15">
        <f>Forecast!C11</f>
        <v>260161.48799999998</v>
      </c>
      <c r="C5" s="15">
        <f>Forecast!D11</f>
        <v>296757.537312</v>
      </c>
      <c r="D5" s="15">
        <f>Forecast!E11</f>
        <v>326433.29104319995</v>
      </c>
      <c r="E5" s="15">
        <f>Forecast!F11</f>
        <v>372133.95178924804</v>
      </c>
    </row>
    <row r="6" spans="1:5" x14ac:dyDescent="0.35">
      <c r="A6" t="s">
        <v>46</v>
      </c>
      <c r="B6" s="15">
        <f>B4-B5</f>
        <v>1084006.2</v>
      </c>
      <c r="C6" s="15">
        <f t="shared" ref="C6:E6" si="0">C4-C5</f>
        <v>1340525.4271679998</v>
      </c>
      <c r="D6" s="15">
        <f t="shared" si="0"/>
        <v>1632166.4552159999</v>
      </c>
      <c r="E6" s="15">
        <f t="shared" si="0"/>
        <v>1928330.4774533764</v>
      </c>
    </row>
    <row r="7" spans="1:5" x14ac:dyDescent="0.35">
      <c r="A7" t="s">
        <v>4</v>
      </c>
      <c r="B7" s="17">
        <f>Assumptions!B4</f>
        <v>0.25</v>
      </c>
      <c r="C7" s="17">
        <f>Assumptions!C4</f>
        <v>0.25</v>
      </c>
      <c r="D7" s="17">
        <f>Assumptions!D4</f>
        <v>0.25</v>
      </c>
      <c r="E7" s="17">
        <f>Assumptions!E4</f>
        <v>0.25</v>
      </c>
    </row>
    <row r="8" spans="1:5" x14ac:dyDescent="0.35">
      <c r="A8" t="s">
        <v>36</v>
      </c>
      <c r="B8" s="15">
        <f>B6*(1-B7)</f>
        <v>813004.64999999991</v>
      </c>
      <c r="C8" s="15">
        <f t="shared" ref="C8:E8" si="1">C6*(1-C7)</f>
        <v>1005394.0703759999</v>
      </c>
      <c r="D8" s="15">
        <f t="shared" si="1"/>
        <v>1224124.8414119999</v>
      </c>
      <c r="E8" s="15">
        <f t="shared" si="1"/>
        <v>1446247.8580900324</v>
      </c>
    </row>
    <row r="9" spans="1:5" x14ac:dyDescent="0.35">
      <c r="A9" t="s">
        <v>37</v>
      </c>
      <c r="B9" s="15">
        <f>B5</f>
        <v>260161.48799999998</v>
      </c>
      <c r="C9" s="15">
        <f t="shared" ref="C9:E9" si="2">C5</f>
        <v>296757.537312</v>
      </c>
      <c r="D9" s="15">
        <f t="shared" si="2"/>
        <v>326433.29104319995</v>
      </c>
      <c r="E9" s="15">
        <f t="shared" si="2"/>
        <v>372133.95178924804</v>
      </c>
    </row>
    <row r="10" spans="1:5" x14ac:dyDescent="0.35">
      <c r="A10" t="s">
        <v>38</v>
      </c>
      <c r="B10" s="15">
        <f>Forecast!C7</f>
        <v>216801.24</v>
      </c>
      <c r="C10" s="15">
        <f>Forecast!D7</f>
        <v>255825.4632</v>
      </c>
      <c r="D10" s="15">
        <f>Forecast!E7</f>
        <v>296757.537312</v>
      </c>
      <c r="E10" s="15">
        <f>Forecast!F7</f>
        <v>338303.59253568004</v>
      </c>
    </row>
    <row r="11" spans="1:5" x14ac:dyDescent="0.35">
      <c r="A11" t="s">
        <v>39</v>
      </c>
      <c r="B11" s="15">
        <f>B8+B9-B10</f>
        <v>856364.89799999981</v>
      </c>
      <c r="C11" s="15">
        <f t="shared" ref="C11:E11" si="3">C8+C9-C10</f>
        <v>1046326.144488</v>
      </c>
      <c r="D11" s="15">
        <f t="shared" si="3"/>
        <v>1253800.5951431999</v>
      </c>
      <c r="E11" s="15">
        <f t="shared" si="3"/>
        <v>1480078.2173436005</v>
      </c>
    </row>
    <row r="12" spans="1:5" x14ac:dyDescent="0.35">
      <c r="A12" t="s">
        <v>47</v>
      </c>
      <c r="B12" s="15">
        <f>B11/(1+B15)^1</f>
        <v>785655.86972477043</v>
      </c>
      <c r="C12" s="15">
        <f>C11/(1+B15)^2</f>
        <v>880671.78224728548</v>
      </c>
      <c r="D12" s="15">
        <f>D11/(1+B15)^3</f>
        <v>968164.10686030949</v>
      </c>
      <c r="E12" s="15">
        <f>E11/(1+B15)^4</f>
        <v>1048524.7235146399</v>
      </c>
    </row>
    <row r="14" spans="1:5" x14ac:dyDescent="0.35">
      <c r="A14" s="1" t="s">
        <v>14</v>
      </c>
      <c r="B14" s="5" t="s">
        <v>1</v>
      </c>
    </row>
    <row r="15" spans="1:5" x14ac:dyDescent="0.35">
      <c r="A15" t="s">
        <v>7</v>
      </c>
      <c r="B15" s="12">
        <v>0.09</v>
      </c>
    </row>
    <row r="16" spans="1:5" x14ac:dyDescent="0.35">
      <c r="A16" t="s">
        <v>8</v>
      </c>
      <c r="B16" s="12">
        <v>2.5000000000000001E-2</v>
      </c>
    </row>
    <row r="17" spans="1:2" x14ac:dyDescent="0.35">
      <c r="A17" t="s">
        <v>40</v>
      </c>
      <c r="B17" s="15">
        <f>SUM(B12:E12)</f>
        <v>3683016.482347005</v>
      </c>
    </row>
    <row r="18" spans="1:2" x14ac:dyDescent="0.35">
      <c r="A18" t="s">
        <v>41</v>
      </c>
      <c r="B18" s="15">
        <f>B31/(1+B15)^4</f>
        <v>16534428.332346242</v>
      </c>
    </row>
    <row r="19" spans="1:2" x14ac:dyDescent="0.35">
      <c r="A19" t="s">
        <v>42</v>
      </c>
      <c r="B19" s="15">
        <f>B17+B18</f>
        <v>20217444.814693246</v>
      </c>
    </row>
    <row r="20" spans="1:2" x14ac:dyDescent="0.35">
      <c r="A20" t="s">
        <v>43</v>
      </c>
      <c r="B20" s="15">
        <f>Historicals!E8</f>
        <v>4929452</v>
      </c>
    </row>
    <row r="21" spans="1:2" x14ac:dyDescent="0.35">
      <c r="A21" t="s">
        <v>44</v>
      </c>
      <c r="B21" s="15">
        <f>Historicals!E9</f>
        <v>1815162</v>
      </c>
    </row>
    <row r="22" spans="1:2" x14ac:dyDescent="0.35">
      <c r="A22" t="s">
        <v>45</v>
      </c>
      <c r="B22" s="15">
        <f>B19+B20-B21</f>
        <v>23331734.814693246</v>
      </c>
    </row>
    <row r="23" spans="1:2" x14ac:dyDescent="0.35">
      <c r="A23" t="s">
        <v>51</v>
      </c>
      <c r="B23" s="14">
        <v>1250000</v>
      </c>
    </row>
    <row r="24" spans="1:2" x14ac:dyDescent="0.35">
      <c r="A24" t="s">
        <v>52</v>
      </c>
      <c r="B24" s="16">
        <f>B22/B23</f>
        <v>18.665387851754598</v>
      </c>
    </row>
    <row r="25" spans="1:2" x14ac:dyDescent="0.35">
      <c r="A25" t="s">
        <v>63</v>
      </c>
      <c r="B25" s="16">
        <v>16.3</v>
      </c>
    </row>
    <row r="26" spans="1:2" x14ac:dyDescent="0.35">
      <c r="A26" t="s">
        <v>53</v>
      </c>
      <c r="B26" s="7">
        <f>(B24-B25)/B25</f>
        <v>0.14511581912604893</v>
      </c>
    </row>
    <row r="27" spans="1:2" x14ac:dyDescent="0.35">
      <c r="A27" t="s">
        <v>54</v>
      </c>
      <c r="B27" s="18" t="s">
        <v>55</v>
      </c>
    </row>
    <row r="29" spans="1:2" x14ac:dyDescent="0.35">
      <c r="A29" s="1" t="s">
        <v>50</v>
      </c>
      <c r="B29" s="5" t="s">
        <v>1</v>
      </c>
    </row>
    <row r="30" spans="1:2" x14ac:dyDescent="0.35">
      <c r="A30" t="s">
        <v>48</v>
      </c>
      <c r="B30" s="4">
        <f>E11*(1+B16)</f>
        <v>1517080.1727771903</v>
      </c>
    </row>
    <row r="31" spans="1:2" x14ac:dyDescent="0.35">
      <c r="A31" t="s">
        <v>49</v>
      </c>
      <c r="B31" s="4">
        <f>B30/(B15-B16)</f>
        <v>23339694.965802927</v>
      </c>
    </row>
    <row r="34" spans="1:8" x14ac:dyDescent="0.35">
      <c r="A34" s="1" t="s">
        <v>57</v>
      </c>
      <c r="B34" s="1" t="s">
        <v>56</v>
      </c>
    </row>
    <row r="36" spans="1:8" x14ac:dyDescent="0.35">
      <c r="D36" s="1" t="s">
        <v>8</v>
      </c>
    </row>
    <row r="37" spans="1:8" ht="15" thickBot="1" x14ac:dyDescent="0.4">
      <c r="B37" s="42">
        <f>B24</f>
        <v>18.665387851754598</v>
      </c>
      <c r="C37" s="23">
        <v>1.4999999999999999E-2</v>
      </c>
      <c r="D37" s="24">
        <v>0.02</v>
      </c>
      <c r="E37" s="23">
        <v>2.5000000000000001E-2</v>
      </c>
      <c r="F37" s="24">
        <v>0.03</v>
      </c>
      <c r="G37" s="23">
        <v>3.5000000000000003E-2</v>
      </c>
    </row>
    <row r="38" spans="1:8" x14ac:dyDescent="0.35">
      <c r="B38" s="21">
        <v>7.4999999999999997E-2</v>
      </c>
      <c r="C38" s="25">
        <f t="dataTable" ref="C38:G44" dt2D="1" dtr="1" r1="B16" r2="B15"/>
        <v>20.54586567940795</v>
      </c>
      <c r="D38" s="26">
        <v>21.989992473046328</v>
      </c>
      <c r="E38" s="26">
        <v>23.722944625412381</v>
      </c>
      <c r="F38" s="26">
        <v>25.840997256082005</v>
      </c>
      <c r="G38" s="27">
        <v>28.488563044419038</v>
      </c>
    </row>
    <row r="39" spans="1:8" x14ac:dyDescent="0.35">
      <c r="B39" s="22">
        <v>0.08</v>
      </c>
      <c r="C39" s="28">
        <v>19.100390848496101</v>
      </c>
      <c r="D39" s="20">
        <v>20.305451164556626</v>
      </c>
      <c r="E39" s="20">
        <v>21.729613356264512</v>
      </c>
      <c r="F39" s="20">
        <v>23.438607986313976</v>
      </c>
      <c r="G39" s="29">
        <v>25.527379200818885</v>
      </c>
      <c r="H39" s="9"/>
    </row>
    <row r="40" spans="1:8" x14ac:dyDescent="0.35">
      <c r="B40" s="21">
        <v>8.5000000000000006E-2</v>
      </c>
      <c r="C40" s="28">
        <v>17.86221857109258</v>
      </c>
      <c r="D40" s="20">
        <v>18.880913272340248</v>
      </c>
      <c r="E40" s="20">
        <v>20.069390423795859</v>
      </c>
      <c r="F40" s="20">
        <v>21.473954330061577</v>
      </c>
      <c r="G40" s="29">
        <v>23.159431017580449</v>
      </c>
      <c r="H40" s="3"/>
    </row>
    <row r="41" spans="1:8" x14ac:dyDescent="0.35">
      <c r="A41" s="19" t="s">
        <v>7</v>
      </c>
      <c r="B41" s="22">
        <v>0.09</v>
      </c>
      <c r="C41" s="28">
        <v>16.789872859129439</v>
      </c>
      <c r="D41" s="20">
        <v>17.660647677133976</v>
      </c>
      <c r="E41" s="20">
        <v>18.665387851754598</v>
      </c>
      <c r="F41" s="20">
        <v>19.837584722145326</v>
      </c>
      <c r="G41" s="29">
        <v>21.222908296243457</v>
      </c>
      <c r="H41" s="3"/>
    </row>
    <row r="42" spans="1:8" x14ac:dyDescent="0.35">
      <c r="B42" s="21">
        <v>9.5000000000000001E-2</v>
      </c>
      <c r="C42" s="28">
        <v>15.852247091166911</v>
      </c>
      <c r="D42" s="20">
        <v>16.603785274207301</v>
      </c>
      <c r="E42" s="20">
        <v>17.462686054824879</v>
      </c>
      <c r="F42" s="20">
        <v>18.45372541707594</v>
      </c>
      <c r="G42" s="29">
        <v>19.609938006368846</v>
      </c>
      <c r="H42" s="3"/>
    </row>
    <row r="43" spans="1:8" x14ac:dyDescent="0.35">
      <c r="B43" s="22">
        <v>0.1</v>
      </c>
      <c r="C43" s="28">
        <v>15.025554188180136</v>
      </c>
      <c r="D43" s="20">
        <v>15.67967458299324</v>
      </c>
      <c r="E43" s="20">
        <v>16.421011030448078</v>
      </c>
      <c r="F43" s="20">
        <v>17.268252684682189</v>
      </c>
      <c r="G43" s="29">
        <v>18.245839208798476</v>
      </c>
    </row>
    <row r="44" spans="1:8" ht="15" thickBot="1" x14ac:dyDescent="0.4">
      <c r="B44" s="21">
        <v>0.105</v>
      </c>
      <c r="C44" s="30">
        <v>14.291293397761795</v>
      </c>
      <c r="D44" s="31">
        <v>14.864876553674412</v>
      </c>
      <c r="E44" s="31">
        <v>15.510157604076106</v>
      </c>
      <c r="F44" s="31">
        <v>16.241476127864694</v>
      </c>
      <c r="G44" s="32">
        <v>17.07726872648022</v>
      </c>
    </row>
  </sheetData>
  <conditionalFormatting sqref="C38:G4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C46A-9AFA-408F-8A1B-A1F84DF2F69C}">
  <dimension ref="A1:E69"/>
  <sheetViews>
    <sheetView tabSelected="1" workbookViewId="0">
      <selection activeCell="E74" sqref="E74"/>
    </sheetView>
  </sheetViews>
  <sheetFormatPr defaultRowHeight="14.5" x14ac:dyDescent="0.35"/>
  <cols>
    <col min="1" max="1" width="21.26953125" customWidth="1"/>
  </cols>
  <sheetData>
    <row r="1" spans="1:3" ht="18.5" x14ac:dyDescent="0.45">
      <c r="A1" s="33" t="s">
        <v>58</v>
      </c>
      <c r="B1" s="9"/>
      <c r="C1" s="9"/>
    </row>
    <row r="2" spans="1:3" x14ac:dyDescent="0.35">
      <c r="A2" s="9"/>
    </row>
    <row r="3" spans="1:3" x14ac:dyDescent="0.35">
      <c r="A3" s="34" t="s">
        <v>14</v>
      </c>
      <c r="C3" s="5" t="s">
        <v>1</v>
      </c>
    </row>
    <row r="4" spans="1:3" x14ac:dyDescent="0.35">
      <c r="A4" t="s">
        <v>54</v>
      </c>
      <c r="C4" s="5" t="s">
        <v>62</v>
      </c>
    </row>
    <row r="5" spans="1:3" x14ac:dyDescent="0.35">
      <c r="A5" t="s">
        <v>52</v>
      </c>
      <c r="C5" s="16">
        <v>18.670000000000002</v>
      </c>
    </row>
    <row r="6" spans="1:3" x14ac:dyDescent="0.35">
      <c r="A6" t="s">
        <v>59</v>
      </c>
      <c r="C6" s="16">
        <v>16.3</v>
      </c>
    </row>
    <row r="7" spans="1:3" x14ac:dyDescent="0.35">
      <c r="A7" t="s">
        <v>60</v>
      </c>
      <c r="C7" s="7">
        <v>0.14510000000000001</v>
      </c>
    </row>
    <row r="8" spans="1:3" x14ac:dyDescent="0.35">
      <c r="A8" t="s">
        <v>7</v>
      </c>
      <c r="C8" s="17">
        <v>0.09</v>
      </c>
    </row>
    <row r="9" spans="1:3" x14ac:dyDescent="0.35">
      <c r="A9" t="s">
        <v>61</v>
      </c>
      <c r="C9" s="7">
        <v>2.5000000000000001E-2</v>
      </c>
    </row>
    <row r="12" spans="1:3" ht="18.5" x14ac:dyDescent="0.45">
      <c r="A12" s="35" t="s">
        <v>68</v>
      </c>
    </row>
    <row r="14" spans="1:3" x14ac:dyDescent="0.35">
      <c r="A14" s="36" t="s">
        <v>64</v>
      </c>
    </row>
    <row r="15" spans="1:3" x14ac:dyDescent="0.35">
      <c r="A15" t="s">
        <v>65</v>
      </c>
    </row>
    <row r="16" spans="1:3" x14ac:dyDescent="0.35">
      <c r="A16" t="s">
        <v>66</v>
      </c>
    </row>
    <row r="19" spans="1:5" ht="18.5" x14ac:dyDescent="0.45">
      <c r="A19" s="35" t="s">
        <v>67</v>
      </c>
    </row>
    <row r="21" spans="1:5" x14ac:dyDescent="0.35">
      <c r="A21" s="37" t="s">
        <v>69</v>
      </c>
      <c r="B21" s="38" t="s">
        <v>25</v>
      </c>
      <c r="C21" s="38" t="s">
        <v>26</v>
      </c>
      <c r="D21" s="38" t="s">
        <v>27</v>
      </c>
      <c r="E21" s="38" t="s">
        <v>28</v>
      </c>
    </row>
    <row r="22" spans="1:5" x14ac:dyDescent="0.35">
      <c r="A22" s="39" t="s">
        <v>2</v>
      </c>
      <c r="B22" s="40">
        <v>0.2</v>
      </c>
      <c r="C22" s="40">
        <v>0.18</v>
      </c>
      <c r="D22" s="40">
        <v>0.16</v>
      </c>
      <c r="E22" s="40">
        <v>0.14000000000000001</v>
      </c>
    </row>
    <row r="23" spans="1:5" x14ac:dyDescent="0.35">
      <c r="A23" s="39" t="s">
        <v>70</v>
      </c>
      <c r="B23" s="40">
        <v>0.31</v>
      </c>
      <c r="C23" s="40">
        <v>0.32</v>
      </c>
      <c r="D23" s="40">
        <v>0.33</v>
      </c>
      <c r="E23" s="40">
        <v>0.34</v>
      </c>
    </row>
    <row r="24" spans="1:5" x14ac:dyDescent="0.35">
      <c r="A24" s="39" t="s">
        <v>30</v>
      </c>
      <c r="B24" s="40">
        <v>0.25</v>
      </c>
      <c r="C24" s="40">
        <v>0.22</v>
      </c>
      <c r="D24" s="40">
        <v>0.18</v>
      </c>
      <c r="E24" s="40">
        <v>0.15</v>
      </c>
    </row>
    <row r="25" spans="1:5" x14ac:dyDescent="0.35">
      <c r="A25" s="39" t="s">
        <v>31</v>
      </c>
      <c r="B25" s="40">
        <v>0.3</v>
      </c>
      <c r="C25" s="40">
        <v>0.25</v>
      </c>
      <c r="D25" s="40">
        <v>0.2</v>
      </c>
      <c r="E25" s="40">
        <v>0.18</v>
      </c>
    </row>
    <row r="28" spans="1:5" ht="18.5" x14ac:dyDescent="0.45">
      <c r="A28" s="35" t="s">
        <v>71</v>
      </c>
    </row>
    <row r="30" spans="1:5" x14ac:dyDescent="0.35">
      <c r="A30" s="41" t="s">
        <v>72</v>
      </c>
    </row>
    <row r="31" spans="1:5" x14ac:dyDescent="0.35">
      <c r="A31" t="s">
        <v>73</v>
      </c>
    </row>
    <row r="32" spans="1:5" x14ac:dyDescent="0.35">
      <c r="A32" t="s">
        <v>74</v>
      </c>
    </row>
    <row r="34" spans="1:1" x14ac:dyDescent="0.35">
      <c r="A34" t="s">
        <v>75</v>
      </c>
    </row>
    <row r="35" spans="1:1" x14ac:dyDescent="0.35">
      <c r="A35" t="s">
        <v>76</v>
      </c>
    </row>
    <row r="38" spans="1:1" ht="18.5" x14ac:dyDescent="0.45">
      <c r="A38" s="35" t="s">
        <v>77</v>
      </c>
    </row>
    <row r="40" spans="1:1" x14ac:dyDescent="0.35">
      <c r="A40" s="1" t="s">
        <v>78</v>
      </c>
    </row>
    <row r="41" spans="1:1" x14ac:dyDescent="0.35">
      <c r="A41" t="s">
        <v>79</v>
      </c>
    </row>
    <row r="42" spans="1:1" x14ac:dyDescent="0.35">
      <c r="A42" t="s">
        <v>80</v>
      </c>
    </row>
    <row r="43" spans="1:1" x14ac:dyDescent="0.35">
      <c r="A43" t="s">
        <v>81</v>
      </c>
    </row>
    <row r="44" spans="1:1" x14ac:dyDescent="0.35">
      <c r="A44" t="s">
        <v>82</v>
      </c>
    </row>
    <row r="47" spans="1:1" ht="18.5" x14ac:dyDescent="0.45">
      <c r="A47" s="35" t="s">
        <v>83</v>
      </c>
    </row>
    <row r="49" spans="1:1" x14ac:dyDescent="0.35">
      <c r="A49" s="1" t="s">
        <v>84</v>
      </c>
    </row>
    <row r="64" spans="1:1" ht="18.5" x14ac:dyDescent="0.45">
      <c r="A64" s="35" t="s">
        <v>85</v>
      </c>
    </row>
    <row r="66" spans="1:1" x14ac:dyDescent="0.35">
      <c r="A66" t="s">
        <v>86</v>
      </c>
    </row>
    <row r="67" spans="1:1" x14ac:dyDescent="0.35">
      <c r="A67" t="s">
        <v>87</v>
      </c>
    </row>
    <row r="68" spans="1:1" x14ac:dyDescent="0.35">
      <c r="A68" t="s">
        <v>88</v>
      </c>
    </row>
    <row r="69" spans="1:1" x14ac:dyDescent="0.35">
      <c r="A69" t="s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Historicals</vt:lpstr>
      <vt:lpstr>Forecast</vt:lpstr>
      <vt:lpstr>DCF</vt:lpstr>
      <vt:lpstr>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Connor Olechna</cp:lastModifiedBy>
  <dcterms:created xsi:type="dcterms:W3CDTF">2015-06-05T18:17:20Z</dcterms:created>
  <dcterms:modified xsi:type="dcterms:W3CDTF">2026-05-07T19:13:21Z</dcterms:modified>
</cp:coreProperties>
</file>